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b2a929c4b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Q" sheetId="1" r:id="R70ff57be701b438c"/>
    <x:sheet xmlns:r="http://schemas.openxmlformats.org/officeDocument/2006/relationships" name="화학_QL" sheetId="2" r:id="R8b2543887b1a41ed"/>
    <x:sheet xmlns:r="http://schemas.openxmlformats.org/officeDocument/2006/relationships" name="DP_기타" sheetId="3" r:id="Re63c3b83d39c4c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2" fillId="2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0afae6c124637" /><Relationship Type="http://schemas.openxmlformats.org/officeDocument/2006/relationships/theme" Target="/xl/theme/theme1.xml" Id="R1edf966001ee4920" /><Relationship Type="http://schemas.openxmlformats.org/officeDocument/2006/relationships/sharedStrings" Target="/xl/sharedStrings.xml" Id="R2070cb504bd147a5" /><Relationship Type="http://schemas.openxmlformats.org/officeDocument/2006/relationships/worksheet" Target="/xl/worksheets/sheet1.xml" Id="R70ff57be701b438c" /><Relationship Type="http://schemas.openxmlformats.org/officeDocument/2006/relationships/worksheet" Target="/xl/worksheets/sheet2.xml" Id="R8b2543887b1a41ed" /><Relationship Type="http://schemas.openxmlformats.org/officeDocument/2006/relationships/worksheet" Target="/xl/worksheets/sheet3.xml" Id="Re63c3b83d39c4c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.200000762939453" hidden="0" customWidth="1"/>
    <x:col min="2" max="2" width="19.600000381469727" hidden="0" customWidth="1"/>
    <x:col min="3" max="3" width="18" hidden="0" customWidth="1"/>
    <x:col min="4" max="4" width="18" hidden="0" customWidth="1"/>
    <x:col min="5" max="5" width="19.600000381469727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2.400001525878906" hidden="0" customWidth="1"/>
  </x:cols>
  <x:sheetData>
    <x:row r="1" ht="22" customHeight="1">
      <x:c r="A1" s="6" t="str">
        <x:v>가상 건설중인자산 명세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0" customHeight="1">
      <x:c r="A5" s="7" t="str">
        <x:v>자산번호</x:v>
      </x:c>
      <x:c r="B5" s="7" t="str">
        <x:v>WBS 코드</x:v>
      </x:c>
      <x:c r="C5" s="7" t="str">
        <x:v>사업영역</x:v>
      </x:c>
      <x:c r="D5" s="7" t="str">
        <x:v>전기일</x:v>
      </x:c>
      <x:c r="E5" s="7" t="str">
        <x:v>내역</x:v>
      </x:c>
      <x:c r="F5" s="7" t="str">
        <x:v>자산구분</x:v>
      </x:c>
      <x:c r="G5" s="7" t="str">
        <x:v>내용연수</x:v>
      </x:c>
      <x:c r="H5" s="7" t="str">
        <x:v>거래처</x:v>
      </x:c>
      <x:c r="I5" s="7" t="str">
        <x:v>지급액 금액</x:v>
      </x:c>
      <x:c r="J5" s="7" t="str">
        <x:v>예상 월 감가상각비</x:v>
      </x:c>
      <x:c r="K5" s="7" t="str">
        <x:v>계약금액</x:v>
      </x:c>
      <x:c r="L5" s="7" t="str">
        <x:v>현업 전표</x:v>
      </x:c>
    </x:row>
    <x:row r="6" ht="22" customHeight="1">
      <x:c r="A6" s="6" t="str">
        <x:v>990001</x:v>
      </x:c>
      <x:c r="B6" s="6" t="str">
        <x:v>99001-CTA01</x:v>
      </x:c>
      <x:c r="C6" s="6" t="str">
        <x:v>DEMO</x:v>
      </x:c>
      <x:c r="D6" s="2"/>
      <x:c r="E6" s="6" t="str">
        <x:v>가상 연구동 신축 1</x:v>
      </x:c>
      <x:c r="F6" s="2"/>
      <x:c r="G6" s="2"/>
      <x:c r="H6" s="2"/>
      <x:c r="I6" s="2" t="n">
        <x:f>SUM(I7:I8)</x:f>
        <x:v>19000000</x:v>
      </x:c>
      <x:c r="J6" s="2"/>
      <x:c r="K6" s="2" t="n">
        <x:f>SUM(K7:K8)</x:f>
        <x:v>19000000</x:v>
      </x:c>
      <x:c r="L6" s="2"/>
    </x:row>
    <x:row r="7" ht="22" customHeight="1">
      <x:c r="A7" s="6" t="str">
        <x:v>990001</x:v>
      </x:c>
      <x:c r="B7" s="6" t="str">
        <x:v>99001-CTA01</x:v>
      </x:c>
      <x:c r="C7" s="6" t="str">
        <x:v>DEMO</x:v>
      </x:c>
      <x:c r="D7" s="8" t="n">
        <x:v>45823</x:v>
      </x:c>
      <x:c r="E7" s="6" t="str">
        <x:v>가상 기초 설비투자</x:v>
      </x:c>
      <x:c r="F7" s="6" t="str">
        <x:v>건물</x:v>
      </x:c>
      <x:c r="G7" s="2" t="n">
        <x:v>30</x:v>
      </x:c>
      <x:c r="H7" s="6" t="str">
        <x:v>가상 설비 공급사</x:v>
      </x:c>
      <x:c r="I7" s="2" t="n">
        <x:v>18000000</x:v>
      </x:c>
      <x:c r="J7" s="2" t="n">
        <x:f>I7/G7/12</x:f>
        <x:v>50000</x:v>
      </x:c>
      <x:c r="K7" s="2" t="n">
        <x:v>18000000</x:v>
      </x:c>
      <x:c r="L7" s="6" t="str">
        <x:v>DEMO-OPEN-990001</x:v>
      </x:c>
    </x:row>
    <x:row r="8" ht="22" customHeight="1">
      <x:c r="A8" s="6" t="str">
        <x:v>990001</x:v>
      </x:c>
      <x:c r="B8" s="6" t="str">
        <x:v>99001-CTA01</x:v>
      </x:c>
      <x:c r="C8" s="6" t="str">
        <x:v>DEMO</x:v>
      </x:c>
      <x:c r="D8" s="8" t="n">
        <x:v>46068</x:v>
      </x:c>
      <x:c r="E8" s="6" t="str">
        <x:v>가상 설비 중도금</x:v>
      </x:c>
      <x:c r="F8" s="6" t="str">
        <x:v>건물</x:v>
      </x:c>
      <x:c r="G8" s="2" t="n">
        <x:v>30</x:v>
      </x:c>
      <x:c r="H8" s="6" t="str">
        <x:v>가상 설비 공급사</x:v>
      </x:c>
      <x:c r="I8" s="2" t="n">
        <x:v>1000000</x:v>
      </x:c>
      <x:c r="J8" s="2" t="n">
        <x:f>I8/G8/12</x:f>
        <x:v>2777.777777777778</x:v>
      </x:c>
      <x:c r="K8" s="2" t="n">
        <x:v>1000000</x:v>
      </x:c>
      <x:c r="L8" s="6" t="str">
        <x:v>DEMO-CIP-ADD-990001</x:v>
      </x:c>
    </x:row>
    <x:row r="9" ht="22" customHeight="1">
      <x:c r="A9" s="6" t="str">
        <x:v>990004</x:v>
      </x:c>
      <x:c r="B9" s="6" t="str">
        <x:v>99004-CTA01</x:v>
      </x:c>
      <x:c r="C9" s="6" t="str">
        <x:v>DEMO</x:v>
      </x:c>
      <x:c r="D9" s="2"/>
      <x:c r="E9" s="6" t="str">
        <x:v>가상 연구동 신축 4</x:v>
      </x:c>
      <x:c r="F9" s="2"/>
      <x:c r="G9" s="2"/>
      <x:c r="H9" s="2"/>
      <x:c r="I9" s="2" t="n">
        <x:f>SUM(I10:I11)</x:f>
        <x:v>76000000</x:v>
      </x:c>
      <x:c r="J9" s="2"/>
      <x:c r="K9" s="2" t="n">
        <x:f>SUM(K10:K11)</x:f>
        <x:v>76000000</x:v>
      </x:c>
      <x:c r="L9" s="2"/>
    </x:row>
    <x:row r="10" ht="22" customHeight="1">
      <x:c r="A10" s="6" t="str">
        <x:v>990004</x:v>
      </x:c>
      <x:c r="B10" s="6" t="str">
        <x:v>99004-CTA01</x:v>
      </x:c>
      <x:c r="C10" s="6" t="str">
        <x:v>DEMO</x:v>
      </x:c>
      <x:c r="D10" s="8" t="n">
        <x:v>45823</x:v>
      </x:c>
      <x:c r="E10" s="6" t="str">
        <x:v>가상 기초 설비투자</x:v>
      </x:c>
      <x:c r="F10" s="6" t="str">
        <x:v>건물</x:v>
      </x:c>
      <x:c r="G10" s="2" t="n">
        <x:v>30</x:v>
      </x:c>
      <x:c r="H10" s="6" t="str">
        <x:v>가상 설비 공급사</x:v>
      </x:c>
      <x:c r="I10" s="2" t="n">
        <x:v>72000000</x:v>
      </x:c>
      <x:c r="J10" s="2" t="n">
        <x:f>I10/G10/12</x:f>
        <x:v>200000</x:v>
      </x:c>
      <x:c r="K10" s="2" t="n">
        <x:v>72000000</x:v>
      </x:c>
      <x:c r="L10" s="6" t="str">
        <x:v>DEMO-OPEN-990004</x:v>
      </x:c>
    </x:row>
    <x:row r="11" ht="22" customHeight="1">
      <x:c r="A11" s="6" t="str">
        <x:v>990004</x:v>
      </x:c>
      <x:c r="B11" s="6" t="str">
        <x:v>99004-CTA01</x:v>
      </x:c>
      <x:c r="C11" s="6" t="str">
        <x:v>DEMO</x:v>
      </x:c>
      <x:c r="D11" s="8" t="n">
        <x:v>46157</x:v>
      </x:c>
      <x:c r="E11" s="6" t="str">
        <x:v>가상 설비 중도금</x:v>
      </x:c>
      <x:c r="F11" s="6" t="str">
        <x:v>건물</x:v>
      </x:c>
      <x:c r="G11" s="2" t="n">
        <x:v>30</x:v>
      </x:c>
      <x:c r="H11" s="6" t="str">
        <x:v>가상 설비 공급사</x:v>
      </x:c>
      <x:c r="I11" s="2" t="n">
        <x:v>4000000</x:v>
      </x:c>
      <x:c r="J11" s="2" t="n">
        <x:f>I11/G11/12</x:f>
        <x:v>11111.111111111111</x:v>
      </x:c>
      <x:c r="K11" s="2" t="n">
        <x:v>4000000</x:v>
      </x:c>
      <x:c r="L11" s="6" t="str">
        <x:v>DEMO-CIP-ADD-990004</x:v>
      </x:c>
    </x:row>
    <x:row r="12" ht="22" customHeight="1">
      <x:c r="A12" s="6" t="str">
        <x:v>990007</x:v>
      </x:c>
      <x:c r="B12" s="6" t="str">
        <x:v>99007-CTA01</x:v>
      </x:c>
      <x:c r="C12" s="6" t="str">
        <x:v>DEMO</x:v>
      </x:c>
      <x:c r="D12" s="2"/>
      <x:c r="E12" s="6" t="str">
        <x:v>가상 연구동 신축 7</x:v>
      </x:c>
      <x:c r="F12" s="2"/>
      <x:c r="G12" s="2"/>
      <x:c r="H12" s="2"/>
      <x:c r="I12" s="2" t="n">
        <x:f>SUM(I13:I13)</x:f>
        <x:v>126000000</x:v>
      </x:c>
      <x:c r="J12" s="2"/>
      <x:c r="K12" s="2" t="n">
        <x:f>SUM(K13:K13)</x:f>
        <x:v>126000000</x:v>
      </x:c>
      <x:c r="L12" s="2"/>
    </x:row>
    <x:row r="13" ht="22" customHeight="1">
      <x:c r="A13" s="6" t="str">
        <x:v>990007</x:v>
      </x:c>
      <x:c r="B13" s="6" t="str">
        <x:v>99007-CTA01</x:v>
      </x:c>
      <x:c r="C13" s="6" t="str">
        <x:v>DEMO</x:v>
      </x:c>
      <x:c r="D13" s="8" t="n">
        <x:v>45823</x:v>
      </x:c>
      <x:c r="E13" s="6" t="str">
        <x:v>가상 기초 설비투자</x:v>
      </x:c>
      <x:c r="F13" s="6" t="str">
        <x:v>건물</x:v>
      </x:c>
      <x:c r="G13" s="2" t="n">
        <x:v>30</x:v>
      </x:c>
      <x:c r="H13" s="6" t="str">
        <x:v>가상 설비 공급사</x:v>
      </x:c>
      <x:c r="I13" s="2" t="n">
        <x:v>126000000</x:v>
      </x:c>
      <x:c r="J13" s="2" t="n">
        <x:f>I13/G13/12</x:f>
        <x:v>350000</x:v>
      </x:c>
      <x:c r="K13" s="2" t="n">
        <x:v>126000000</x:v>
      </x:c>
      <x:c r="L13" s="6" t="str">
        <x:v>DEMO-OPEN-990007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.200000762939453" hidden="0" customWidth="1"/>
    <x:col min="2" max="2" width="19.600000381469727" hidden="0" customWidth="1"/>
    <x:col min="3" max="3" width="18" hidden="0" customWidth="1"/>
    <x:col min="4" max="4" width="18" hidden="0" customWidth="1"/>
    <x:col min="5" max="5" width="21.20000076293945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2.400001525878906" hidden="0" customWidth="1"/>
  </x:cols>
  <x:sheetData>
    <x:row r="1" ht="22" customHeight="1">
      <x:c r="A1" s="6" t="str">
        <x:v>가상 건설중인자산 명세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0" customHeight="1">
      <x:c r="A5" s="7" t="str">
        <x:v>자산번호</x:v>
      </x:c>
      <x:c r="B5" s="7" t="str">
        <x:v>WBS 코드</x:v>
      </x:c>
      <x:c r="C5" s="7" t="str">
        <x:v>사업영역</x:v>
      </x:c>
      <x:c r="D5" s="7" t="str">
        <x:v>전기일</x:v>
      </x:c>
      <x:c r="E5" s="7" t="str">
        <x:v>내역</x:v>
      </x:c>
      <x:c r="F5" s="7" t="str">
        <x:v>자산구분</x:v>
      </x:c>
      <x:c r="G5" s="7" t="str">
        <x:v>내용연수</x:v>
      </x:c>
      <x:c r="H5" s="7" t="str">
        <x:v>거래처</x:v>
      </x:c>
      <x:c r="I5" s="7" t="str">
        <x:v>지급액 금액</x:v>
      </x:c>
      <x:c r="J5" s="7" t="str">
        <x:v>예상 월 감가상각비</x:v>
      </x:c>
      <x:c r="K5" s="7" t="str">
        <x:v>계약금액</x:v>
      </x:c>
      <x:c r="L5" s="7" t="str">
        <x:v>현업 전표</x:v>
      </x:c>
    </x:row>
    <x:row r="6" ht="22" customHeight="1">
      <x:c r="A6" s="6" t="str">
        <x:v>990002</x:v>
      </x:c>
      <x:c r="B6" s="6" t="str">
        <x:v>99002-CTA01</x:v>
      </x:c>
      <x:c r="C6" s="6" t="str">
        <x:v>DEMO</x:v>
      </x:c>
      <x:c r="D6" s="2"/>
      <x:c r="E6" s="6" t="str">
        <x:v>가상 생산설비 증설 2</x:v>
      </x:c>
      <x:c r="F6" s="2"/>
      <x:c r="G6" s="2"/>
      <x:c r="H6" s="2"/>
      <x:c r="I6" s="2" t="n">
        <x:f>SUM(I7:I8)</x:f>
        <x:v>38000000</x:v>
      </x:c>
      <x:c r="J6" s="2"/>
      <x:c r="K6" s="2" t="n">
        <x:f>SUM(K7:K8)</x:f>
        <x:v>38000000</x:v>
      </x:c>
      <x:c r="L6" s="2"/>
    </x:row>
    <x:row r="7" ht="22" customHeight="1">
      <x:c r="A7" s="6" t="str">
        <x:v>990002</x:v>
      </x:c>
      <x:c r="B7" s="6" t="str">
        <x:v>99002-CTA01</x:v>
      </x:c>
      <x:c r="C7" s="6" t="str">
        <x:v>DEMO</x:v>
      </x:c>
      <x:c r="D7" s="8" t="n">
        <x:v>45823</x:v>
      </x:c>
      <x:c r="E7" s="6" t="str">
        <x:v>가상 기초 설비투자</x:v>
      </x:c>
      <x:c r="F7" s="6" t="str">
        <x:v>기계장치</x:v>
      </x:c>
      <x:c r="G7" s="2" t="n">
        <x:v>5</x:v>
      </x:c>
      <x:c r="H7" s="6" t="str">
        <x:v>가상 설비 공급사</x:v>
      </x:c>
      <x:c r="I7" s="2" t="n">
        <x:v>36000000</x:v>
      </x:c>
      <x:c r="J7" s="2" t="n">
        <x:f>I7/G7/12</x:f>
        <x:v>600000</x:v>
      </x:c>
      <x:c r="K7" s="2" t="n">
        <x:v>36000000</x:v>
      </x:c>
      <x:c r="L7" s="6" t="str">
        <x:v>DEMO-OPEN-990002</x:v>
      </x:c>
    </x:row>
    <x:row r="8" ht="22" customHeight="1">
      <x:c r="A8" s="6" t="str">
        <x:v>990002</x:v>
      </x:c>
      <x:c r="B8" s="6" t="str">
        <x:v>99002-CTA01</x:v>
      </x:c>
      <x:c r="C8" s="6" t="str">
        <x:v>DEMO</x:v>
      </x:c>
      <x:c r="D8" s="8" t="n">
        <x:v>46096</x:v>
      </x:c>
      <x:c r="E8" s="6" t="str">
        <x:v>가상 설비 중도금</x:v>
      </x:c>
      <x:c r="F8" s="6" t="str">
        <x:v>기계장치</x:v>
      </x:c>
      <x:c r="G8" s="2" t="n">
        <x:v>5</x:v>
      </x:c>
      <x:c r="H8" s="6" t="str">
        <x:v>가상 설비 공급사</x:v>
      </x:c>
      <x:c r="I8" s="2" t="n">
        <x:v>2000000</x:v>
      </x:c>
      <x:c r="J8" s="2" t="n">
        <x:f>I8/G8/12</x:f>
        <x:v>33333.333333333336</x:v>
      </x:c>
      <x:c r="K8" s="2" t="n">
        <x:v>2000000</x:v>
      </x:c>
      <x:c r="L8" s="6" t="str">
        <x:v>DEMO-CIP-ADD-990002</x:v>
      </x:c>
    </x:row>
    <x:row r="9" ht="22" customHeight="1">
      <x:c r="A9" s="6" t="str">
        <x:v>990005</x:v>
      </x:c>
      <x:c r="B9" s="6" t="str">
        <x:v>99005-CTA01</x:v>
      </x:c>
      <x:c r="C9" s="6" t="str">
        <x:v>DEMO</x:v>
      </x:c>
      <x:c r="D9" s="2"/>
      <x:c r="E9" s="6" t="str">
        <x:v>가상 생산설비 증설 5</x:v>
      </x:c>
      <x:c r="F9" s="2"/>
      <x:c r="G9" s="2"/>
      <x:c r="H9" s="2"/>
      <x:c r="I9" s="2" t="n">
        <x:f>SUM(I10:I11)</x:f>
        <x:v>95000000</x:v>
      </x:c>
      <x:c r="J9" s="2"/>
      <x:c r="K9" s="2" t="n">
        <x:f>SUM(K10:K11)</x:f>
        <x:v>95000000</x:v>
      </x:c>
      <x:c r="L9" s="2"/>
    </x:row>
    <x:row r="10" ht="22" customHeight="1">
      <x:c r="A10" s="6" t="str">
        <x:v>990005</x:v>
      </x:c>
      <x:c r="B10" s="6" t="str">
        <x:v>99005-CTA01</x:v>
      </x:c>
      <x:c r="C10" s="6" t="str">
        <x:v>DEMO</x:v>
      </x:c>
      <x:c r="D10" s="8" t="n">
        <x:v>45823</x:v>
      </x:c>
      <x:c r="E10" s="6" t="str">
        <x:v>가상 기초 설비투자</x:v>
      </x:c>
      <x:c r="F10" s="6" t="str">
        <x:v>기계장치</x:v>
      </x:c>
      <x:c r="G10" s="2" t="n">
        <x:v>5</x:v>
      </x:c>
      <x:c r="H10" s="6" t="str">
        <x:v>가상 설비 공급사</x:v>
      </x:c>
      <x:c r="I10" s="2" t="n">
        <x:v>90000000</x:v>
      </x:c>
      <x:c r="J10" s="2" t="n">
        <x:f>I10/G10/12</x:f>
        <x:v>1500000</x:v>
      </x:c>
      <x:c r="K10" s="2" t="n">
        <x:v>90000000</x:v>
      </x:c>
      <x:c r="L10" s="6" t="str">
        <x:v>DEMO-OPEN-990005</x:v>
      </x:c>
    </x:row>
    <x:row r="11" ht="22" customHeight="1">
      <x:c r="A11" s="6" t="str">
        <x:v>990005</x:v>
      </x:c>
      <x:c r="B11" s="6" t="str">
        <x:v>99005-CTA01</x:v>
      </x:c>
      <x:c r="C11" s="6" t="str">
        <x:v>DEMO</x:v>
      </x:c>
      <x:c r="D11" s="8" t="n">
        <x:v>46188</x:v>
      </x:c>
      <x:c r="E11" s="6" t="str">
        <x:v>가상 설비 중도금</x:v>
      </x:c>
      <x:c r="F11" s="6" t="str">
        <x:v>기계장치</x:v>
      </x:c>
      <x:c r="G11" s="2" t="n">
        <x:v>5</x:v>
      </x:c>
      <x:c r="H11" s="6" t="str">
        <x:v>가상 설비 공급사</x:v>
      </x:c>
      <x:c r="I11" s="2" t="n">
        <x:v>5000000</x:v>
      </x:c>
      <x:c r="J11" s="2" t="n">
        <x:f>I11/G11/12</x:f>
        <x:v>83333.33333333333</x:v>
      </x:c>
      <x:c r="K11" s="2" t="n">
        <x:v>5000000</x:v>
      </x:c>
      <x:c r="L11" s="6" t="str">
        <x:v>DEMO-CIP-ADD-990005</x:v>
      </x:c>
    </x:row>
    <x:row r="12" ht="22" customHeight="1">
      <x:c r="A12" s="6" t="str">
        <x:v>990008</x:v>
      </x:c>
      <x:c r="B12" s="6" t="str">
        <x:v>99008-CTA01</x:v>
      </x:c>
      <x:c r="C12" s="6" t="str">
        <x:v>DEMO</x:v>
      </x:c>
      <x:c r="D12" s="2"/>
      <x:c r="E12" s="6" t="str">
        <x:v>가상 생산설비 증설 8</x:v>
      </x:c>
      <x:c r="F12" s="2"/>
      <x:c r="G12" s="2"/>
      <x:c r="H12" s="2"/>
      <x:c r="I12" s="2" t="n">
        <x:f>SUM(I13:I14)</x:f>
        <x:v>152000000</x:v>
      </x:c>
      <x:c r="J12" s="2"/>
      <x:c r="K12" s="2" t="n">
        <x:f>SUM(K13:K14)</x:f>
        <x:v>152000000</x:v>
      </x:c>
      <x:c r="L12" s="2"/>
    </x:row>
    <x:row r="13" ht="22" customHeight="1">
      <x:c r="A13" s="6" t="str">
        <x:v>990008</x:v>
      </x:c>
      <x:c r="B13" s="6" t="str">
        <x:v>99008-CTA01</x:v>
      </x:c>
      <x:c r="C13" s="6" t="str">
        <x:v>DEMO</x:v>
      </x:c>
      <x:c r="D13" s="8" t="n">
        <x:v>45823</x:v>
      </x:c>
      <x:c r="E13" s="6" t="str">
        <x:v>가상 기초 설비투자</x:v>
      </x:c>
      <x:c r="F13" s="6" t="str">
        <x:v>기계장치</x:v>
      </x:c>
      <x:c r="G13" s="2" t="n">
        <x:v>5</x:v>
      </x:c>
      <x:c r="H13" s="6" t="str">
        <x:v>가상 설비 공급사</x:v>
      </x:c>
      <x:c r="I13" s="2" t="n">
        <x:v>144000000</x:v>
      </x:c>
      <x:c r="J13" s="2" t="n">
        <x:f>I13/G13/12</x:f>
        <x:v>2400000</x:v>
      </x:c>
      <x:c r="K13" s="2" t="n">
        <x:v>144000000</x:v>
      </x:c>
      <x:c r="L13" s="6" t="str">
        <x:v>DEMO-OPEN-990008</x:v>
      </x:c>
    </x:row>
    <x:row r="14" ht="22" customHeight="1">
      <x:c r="A14" s="6" t="str">
        <x:v>990008</x:v>
      </x:c>
      <x:c r="B14" s="6" t="str">
        <x:v>99008-CTA01</x:v>
      </x:c>
      <x:c r="C14" s="6" t="str">
        <x:v>DEMO</x:v>
      </x:c>
      <x:c r="D14" s="8" t="n">
        <x:v>46068</x:v>
      </x:c>
      <x:c r="E14" s="6" t="str">
        <x:v>가상 설비 중도금</x:v>
      </x:c>
      <x:c r="F14" s="6" t="str">
        <x:v>기계장치</x:v>
      </x:c>
      <x:c r="G14" s="2" t="n">
        <x:v>5</x:v>
      </x:c>
      <x:c r="H14" s="6" t="str">
        <x:v>가상 설비 공급사</x:v>
      </x:c>
      <x:c r="I14" s="2" t="n">
        <x:v>8000000</x:v>
      </x:c>
      <x:c r="J14" s="2" t="n">
        <x:f>I14/G14/12</x:f>
        <x:v>133333.33333333334</x:v>
      </x:c>
      <x:c r="K14" s="2" t="n">
        <x:v>8000000</x:v>
      </x:c>
      <x:c r="L14" s="6" t="str">
        <x:v>DEMO-CIP-ADD-990008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.200000762939453" hidden="0" customWidth="1"/>
    <x:col min="2" max="2" width="19.600000381469727" hidden="0" customWidth="1"/>
    <x:col min="3" max="3" width="18" hidden="0" customWidth="1"/>
    <x:col min="4" max="4" width="18" hidden="0" customWidth="1"/>
    <x:col min="5" max="5" width="21.20000076293945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2.400001525878906" hidden="0" customWidth="1"/>
  </x:cols>
  <x:sheetData>
    <x:row r="1" ht="22" customHeight="1">
      <x:c r="A1" s="6" t="str">
        <x:v>가상 건설중인자산 명세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0" customHeight="1">
      <x:c r="A5" s="7" t="str">
        <x:v>자산번호</x:v>
      </x:c>
      <x:c r="B5" s="7" t="str">
        <x:v>WBS 코드</x:v>
      </x:c>
      <x:c r="C5" s="7" t="str">
        <x:v>사업영역</x:v>
      </x:c>
      <x:c r="D5" s="7" t="str">
        <x:v>전기일</x:v>
      </x:c>
      <x:c r="E5" s="7" t="str">
        <x:v>내역</x:v>
      </x:c>
      <x:c r="F5" s="7" t="str">
        <x:v>자산구분</x:v>
      </x:c>
      <x:c r="G5" s="7" t="str">
        <x:v>내용연수</x:v>
      </x:c>
      <x:c r="H5" s="7" t="str">
        <x:v>거래처</x:v>
      </x:c>
      <x:c r="I5" s="7" t="str">
        <x:v>지급액 금액</x:v>
      </x:c>
      <x:c r="J5" s="7" t="str">
        <x:v>예상 월 감가상각비</x:v>
      </x:c>
      <x:c r="K5" s="7" t="str">
        <x:v>계약금액</x:v>
      </x:c>
      <x:c r="L5" s="7" t="str">
        <x:v>현업 전표</x:v>
      </x:c>
    </x:row>
    <x:row r="6" ht="22" customHeight="1">
      <x:c r="A6" s="6" t="str">
        <x:v>990003</x:v>
      </x:c>
      <x:c r="B6" s="6" t="str">
        <x:v>99003-CTA01</x:v>
      </x:c>
      <x:c r="C6" s="6" t="str">
        <x:v>DEMO</x:v>
      </x:c>
      <x:c r="D6" s="2"/>
      <x:c r="E6" s="6" t="str">
        <x:v>가상 검사장비 구축 3</x:v>
      </x:c>
      <x:c r="F6" s="2"/>
      <x:c r="G6" s="2"/>
      <x:c r="H6" s="2"/>
      <x:c r="I6" s="2" t="n">
        <x:f>SUM(I7:I8)</x:f>
        <x:v>57000000</x:v>
      </x:c>
      <x:c r="J6" s="2"/>
      <x:c r="K6" s="2" t="n">
        <x:f>SUM(K7:K8)</x:f>
        <x:v>57000000</x:v>
      </x:c>
      <x:c r="L6" s="2"/>
    </x:row>
    <x:row r="7" ht="22" customHeight="1">
      <x:c r="A7" s="6" t="str">
        <x:v>990003</x:v>
      </x:c>
      <x:c r="B7" s="6" t="str">
        <x:v>99003-CTA01</x:v>
      </x:c>
      <x:c r="C7" s="6" t="str">
        <x:v>DEMO</x:v>
      </x:c>
      <x:c r="D7" s="8" t="n">
        <x:v>45823</x:v>
      </x:c>
      <x:c r="E7" s="6" t="str">
        <x:v>가상 기초 설비투자</x:v>
      </x:c>
      <x:c r="F7" s="6" t="str">
        <x:v>집기비품</x:v>
      </x:c>
      <x:c r="G7" s="2" t="n">
        <x:v>5</x:v>
      </x:c>
      <x:c r="H7" s="6" t="str">
        <x:v>가상 설비 공급사</x:v>
      </x:c>
      <x:c r="I7" s="2" t="n">
        <x:v>54000000</x:v>
      </x:c>
      <x:c r="J7" s="2" t="n">
        <x:f>I7/G7/12</x:f>
        <x:v>900000</x:v>
      </x:c>
      <x:c r="K7" s="2" t="n">
        <x:v>54000000</x:v>
      </x:c>
      <x:c r="L7" s="6" t="str">
        <x:v>DEMO-OPEN-990003</x:v>
      </x:c>
    </x:row>
    <x:row r="8" ht="22" customHeight="1">
      <x:c r="A8" s="6" t="str">
        <x:v>990003</x:v>
      </x:c>
      <x:c r="B8" s="6" t="str">
        <x:v>99003-CTA01</x:v>
      </x:c>
      <x:c r="C8" s="6" t="str">
        <x:v>DEMO</x:v>
      </x:c>
      <x:c r="D8" s="8" t="n">
        <x:v>46127</x:v>
      </x:c>
      <x:c r="E8" s="6" t="str">
        <x:v>가상 설비 중도금</x:v>
      </x:c>
      <x:c r="F8" s="6" t="str">
        <x:v>집기비품</x:v>
      </x:c>
      <x:c r="G8" s="2" t="n">
        <x:v>5</x:v>
      </x:c>
      <x:c r="H8" s="6" t="str">
        <x:v>가상 설비 공급사</x:v>
      </x:c>
      <x:c r="I8" s="2" t="n">
        <x:v>3000000</x:v>
      </x:c>
      <x:c r="J8" s="2" t="n">
        <x:f>I8/G8/12</x:f>
        <x:v>50000</x:v>
      </x:c>
      <x:c r="K8" s="2" t="n">
        <x:v>3000000</x:v>
      </x:c>
      <x:c r="L8" s="6" t="str">
        <x:v>DEMO-CIP-ADD-990003</x:v>
      </x:c>
    </x:row>
    <x:row r="9" ht="22" customHeight="1">
      <x:c r="A9" s="6" t="str">
        <x:v>990006</x:v>
      </x:c>
      <x:c r="B9" s="6" t="str">
        <x:v>99006-CTA01</x:v>
      </x:c>
      <x:c r="C9" s="6" t="str">
        <x:v>DEMO</x:v>
      </x:c>
      <x:c r="D9" s="2"/>
      <x:c r="E9" s="6" t="str">
        <x:v>가상 검사장비 구축 6</x:v>
      </x:c>
      <x:c r="F9" s="2"/>
      <x:c r="G9" s="2"/>
      <x:c r="H9" s="2"/>
      <x:c r="I9" s="2" t="n">
        <x:f>SUM(I10:I11)</x:f>
        <x:v>114000000</x:v>
      </x:c>
      <x:c r="J9" s="2"/>
      <x:c r="K9" s="2" t="n">
        <x:f>SUM(K10:K11)</x:f>
        <x:v>114000000</x:v>
      </x:c>
      <x:c r="L9" s="2"/>
    </x:row>
    <x:row r="10" ht="22" customHeight="1">
      <x:c r="A10" s="6" t="str">
        <x:v>990006</x:v>
      </x:c>
      <x:c r="B10" s="6" t="str">
        <x:v>99006-CTA01</x:v>
      </x:c>
      <x:c r="C10" s="6" t="str">
        <x:v>DEMO</x:v>
      </x:c>
      <x:c r="D10" s="8" t="n">
        <x:v>45823</x:v>
      </x:c>
      <x:c r="E10" s="6" t="str">
        <x:v>가상 기초 설비투자</x:v>
      </x:c>
      <x:c r="F10" s="6" t="str">
        <x:v>집기비품</x:v>
      </x:c>
      <x:c r="G10" s="2" t="n">
        <x:v>5</x:v>
      </x:c>
      <x:c r="H10" s="6" t="str">
        <x:v>가상 설비 공급사</x:v>
      </x:c>
      <x:c r="I10" s="2" t="n">
        <x:v>108000000</x:v>
      </x:c>
      <x:c r="J10" s="2" t="n">
        <x:f>I10/G10/12</x:f>
        <x:v>1800000</x:v>
      </x:c>
      <x:c r="K10" s="2" t="n">
        <x:v>108000000</x:v>
      </x:c>
      <x:c r="L10" s="6" t="str">
        <x:v>DEMO-OPEN-990006</x:v>
      </x:c>
    </x:row>
    <x:row r="11" ht="22" customHeight="1">
      <x:c r="A11" s="6" t="str">
        <x:v>990006</x:v>
      </x:c>
      <x:c r="B11" s="6" t="str">
        <x:v>99006-CTA01</x:v>
      </x:c>
      <x:c r="C11" s="6" t="str">
        <x:v>DEMO</x:v>
      </x:c>
      <x:c r="D11" s="8" t="n">
        <x:v>46218</x:v>
      </x:c>
      <x:c r="E11" s="6" t="str">
        <x:v>가상 설비 중도금</x:v>
      </x:c>
      <x:c r="F11" s="6" t="str">
        <x:v>집기비품</x:v>
      </x:c>
      <x:c r="G11" s="2" t="n">
        <x:v>5</x:v>
      </x:c>
      <x:c r="H11" s="6" t="str">
        <x:v>가상 설비 공급사</x:v>
      </x:c>
      <x:c r="I11" s="2" t="n">
        <x:v>6000000</x:v>
      </x:c>
      <x:c r="J11" s="2" t="n">
        <x:f>I11/G11/12</x:f>
        <x:v>100000</x:v>
      </x:c>
      <x:c r="K11" s="2" t="n">
        <x:v>6000000</x:v>
      </x:c>
      <x:c r="L11" s="6" t="str">
        <x:v>DEMO-CIP-ADD-990006</x:v>
      </x:c>
    </x:row>
    <x:row r="12" ht="22" customHeight="1">
      <x:c r="A12" s="6" t="str">
        <x:v>990009</x:v>
      </x:c>
      <x:c r="B12" s="6" t="str">
        <x:v>99009-CTA01</x:v>
      </x:c>
      <x:c r="C12" s="6" t="str">
        <x:v>DEMO</x:v>
      </x:c>
      <x:c r="D12" s="2"/>
      <x:c r="E12" s="6" t="str">
        <x:v>가상 검사장비 구축 9</x:v>
      </x:c>
      <x:c r="F12" s="2"/>
      <x:c r="G12" s="2"/>
      <x:c r="H12" s="2"/>
      <x:c r="I12" s="2" t="n">
        <x:f>SUM(I13:I14)</x:f>
        <x:v>171000000</x:v>
      </x:c>
      <x:c r="J12" s="2"/>
      <x:c r="K12" s="2" t="n">
        <x:f>SUM(K13:K14)</x:f>
        <x:v>171000000</x:v>
      </x:c>
      <x:c r="L12" s="2"/>
    </x:row>
    <x:row r="13" ht="22" customHeight="1">
      <x:c r="A13" s="6" t="str">
        <x:v>990009</x:v>
      </x:c>
      <x:c r="B13" s="6" t="str">
        <x:v>99009-CTA01</x:v>
      </x:c>
      <x:c r="C13" s="6" t="str">
        <x:v>DEMO</x:v>
      </x:c>
      <x:c r="D13" s="8" t="n">
        <x:v>45823</x:v>
      </x:c>
      <x:c r="E13" s="6" t="str">
        <x:v>가상 기초 설비투자</x:v>
      </x:c>
      <x:c r="F13" s="6" t="str">
        <x:v>집기비품</x:v>
      </x:c>
      <x:c r="G13" s="2" t="n">
        <x:v>5</x:v>
      </x:c>
      <x:c r="H13" s="6" t="str">
        <x:v>가상 설비 공급사</x:v>
      </x:c>
      <x:c r="I13" s="2" t="n">
        <x:v>162000000</x:v>
      </x:c>
      <x:c r="J13" s="2" t="n">
        <x:f>I13/G13/12</x:f>
        <x:v>2700000</x:v>
      </x:c>
      <x:c r="K13" s="2" t="n">
        <x:v>162000000</x:v>
      </x:c>
      <x:c r="L13" s="6" t="str">
        <x:v>DEMO-OPEN-990009</x:v>
      </x:c>
    </x:row>
    <x:row r="14" ht="22" customHeight="1">
      <x:c r="A14" s="6" t="str">
        <x:v>990009</x:v>
      </x:c>
      <x:c r="B14" s="6" t="str">
        <x:v>99009-CTA01</x:v>
      </x:c>
      <x:c r="C14" s="6" t="str">
        <x:v>DEMO</x:v>
      </x:c>
      <x:c r="D14" s="8" t="n">
        <x:v>46096</x:v>
      </x:c>
      <x:c r="E14" s="6" t="str">
        <x:v>가상 설비 중도금</x:v>
      </x:c>
      <x:c r="F14" s="6" t="str">
        <x:v>집기비품</x:v>
      </x:c>
      <x:c r="G14" s="2" t="n">
        <x:v>5</x:v>
      </x:c>
      <x:c r="H14" s="6" t="str">
        <x:v>가상 설비 공급사</x:v>
      </x:c>
      <x:c r="I14" s="2" t="n">
        <x:v>9000000</x:v>
      </x:c>
      <x:c r="J14" s="2" t="n">
        <x:f>I14/G14/12</x:f>
        <x:v>150000</x:v>
      </x:c>
      <x:c r="K14" s="2" t="n">
        <x:v>9000000</x:v>
      </x:c>
      <x:c r="L14" s="6" t="str">
        <x:v>DEMO-CIP-ADD-990009</x:v>
      </x:c>
    </x:row>
  </x:sheetData>
  <x:pageMargins left="0.7" right="0.7" top="0.75" bottom="0.75" header="0.3" footer="0.3"/>
</x:worksheet>
</file>